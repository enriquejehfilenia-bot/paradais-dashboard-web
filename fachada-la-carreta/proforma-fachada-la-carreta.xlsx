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Proforma" sheetId="1" r:id="rId1"/>
    <sheet name="Plan de corte" sheetId="2" r:id="rId2"/>
  </sheets>
  <calcPr fullCalcOnLoad="1"/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4" fontId="0" fillId="0" borderId="0" xfId="0" applyNumberFormat="1"/>
  </cell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cols>
    <col min="1" max="1" width="62" customWidth="1"/>
    <col min="2" max="2" width="8" customWidth="1"/>
    <col min="3" max="3" width="9" customWidth="1"/>
    <col min="4" max="4" width="13" customWidth="1"/>
    <col min="5" max="5" width="13" customWidth="1"/>
    <col min="6" max="6" width="70" customWidth="1"/>
  </cols>
  <sheetData>
    <row r="1">
      <c r="A1" s="1" t="inlineStr">
        <is>
          <t xml:space="preserve">Proforma de materiales — Fachada La Carreta</t>
        </is>
      </c>
    </row>
    <row r="2">
      <c r="A2" t="inlineStr">
        <is>
          <t xml:space="preserve">Frente 12,00 m · Alto 4,00 m · Fondo 8,00 m · Tubo 20×20 mm</t>
        </is>
      </c>
    </row>
    <row r="3"/>
    <row r="4">
      <c r="A4" s="1" t="inlineStr">
        <is>
          <t xml:space="preserve">Material</t>
        </is>
      </c>
      <c r="B4" s="1" t="inlineStr">
        <is>
          <t xml:space="preserve">Cant.</t>
        </is>
      </c>
      <c r="C4" s="1" t="inlineStr">
        <is>
          <t xml:space="preserve">Unidad</t>
        </is>
      </c>
      <c r="D4" s="1" t="inlineStr">
        <is>
          <t xml:space="preserve">P. unit. ($)</t>
        </is>
      </c>
      <c r="E4" s="1" t="inlineStr">
        <is>
          <t xml:space="preserve">Total ($)</t>
        </is>
      </c>
      <c r="F4" s="1" t="inlineStr">
        <is>
          <t xml:space="preserve">Nota</t>
        </is>
      </c>
    </row>
    <row r="5">
      <c r="A5" t="inlineStr">
        <is>
          <t xml:space="preserve">Tubo cuadrado 20×20×1,5 mm, barra de 6 m</t>
        </is>
      </c>
      <c r="B5">
        <v>100</v>
      </c>
      <c r="C5" t="inlineStr">
        <is>
          <t xml:space="preserve">barras</t>
        </is>
      </c>
      <c r="D5" s="2">
        <v>7.5</v>
      </c>
      <c r="E5" s="2">
        <f>B5*D5</f>
      </c>
      <c r="F5" t="inlineStr">
        <is>
          <t xml:space="preserve">Precio base: $7,50 por barra (tu dato) · sobrante 24,42 m</t>
        </is>
      </c>
    </row>
    <row r="6">
      <c r="A6" t="inlineStr">
        <is>
          <t xml:space="preserve">Varilla lisa 5/8″ (riel inferior), barra de 6 m</t>
        </is>
      </c>
      <c r="B6">
        <v>3</v>
      </c>
      <c r="C6" t="inlineStr">
        <is>
          <t xml:space="preserve">barras</t>
        </is>
      </c>
      <c r="D6" s="2" t="inlineStr">
        <is>
          <t xml:space="preserve"/>
        </is>
      </c>
      <c r="E6" s="2">
        <f>B6*D6</f>
      </c>
      <c r="F6" t="inlineStr">
        <is>
          <t xml:space="preserve">Un riel de 3,55 m (luz entre columnas) por vano con puertas</t>
        </is>
      </c>
    </row>
    <row r="7">
      <c r="A7" t="inlineStr">
        <is>
          <t xml:space="preserve">Canal U 80×40×3 mm (guía superior), barra de 6 m</t>
        </is>
      </c>
      <c r="B7">
        <v>3</v>
      </c>
      <c r="C7" t="inlineStr">
        <is>
          <t xml:space="preserve">barras</t>
        </is>
      </c>
      <c r="D7" s="2" t="inlineStr">
        <is>
          <t xml:space="preserve"/>
        </is>
      </c>
      <c r="E7" s="2">
        <f>B7*D7</f>
      </c>
      <c r="F7" t="inlineStr">
        <is>
          <t xml:space="preserve">Una guía de 3,55 m (luz entre columnas) por vano con puertas</t>
        </is>
      </c>
    </row>
    <row r="8">
      <c r="A8" t="inlineStr">
        <is>
          <t xml:space="preserve">Ruedas con garganta en V Ø80 mm, rodamiento sellado, ≥100 kg</t>
        </is>
      </c>
      <c r="B8">
        <v>12</v>
      </c>
      <c r="C8" t="inlineStr">
        <is>
          <t xml:space="preserve">u</t>
        </is>
      </c>
      <c r="D8" s="2" t="inlineStr">
        <is>
          <t xml:space="preserve"/>
        </is>
      </c>
      <c r="E8" s="2">
        <f>B8*D8</f>
      </c>
      <c r="F8" t="inlineStr">
        <is>
          <t xml:space="preserve">2 por puerta</t>
        </is>
      </c>
    </row>
    <row r="9">
      <c r="A9" t="inlineStr">
        <is>
          <t xml:space="preserve">Rodillos guía de nylon para la guía superior</t>
        </is>
      </c>
      <c r="B9">
        <v>12</v>
      </c>
      <c r="C9" t="inlineStr">
        <is>
          <t xml:space="preserve">u</t>
        </is>
      </c>
      <c r="D9" s="2" t="inlineStr">
        <is>
          <t xml:space="preserve"/>
        </is>
      </c>
      <c r="E9" s="2">
        <f>B9*D9</f>
      </c>
      <c r="F9" t="inlineStr">
        <is>
          <t xml:space="preserve">2 por puerta</t>
        </is>
      </c>
    </row>
    <row r="10">
      <c r="A10" t="inlineStr">
        <is>
          <t xml:space="preserve">Topes de apertura (platina + goma)</t>
        </is>
      </c>
      <c r="B10">
        <v>12</v>
      </c>
      <c r="C10" t="inlineStr">
        <is>
          <t xml:space="preserve">u</t>
        </is>
      </c>
      <c r="D10" s="2" t="inlineStr">
        <is>
          <t xml:space="preserve"/>
        </is>
      </c>
      <c r="E10" s="2">
        <f>B10*D10</f>
      </c>
    </row>
    <row r="11">
      <c r="A11" t="inlineStr">
        <is>
          <t xml:space="preserve">Pasador de piso para puerta corrediza</t>
        </is>
      </c>
      <c r="B11">
        <v>6</v>
      </c>
      <c r="C11" t="inlineStr">
        <is>
          <t xml:space="preserve">u</t>
        </is>
      </c>
      <c r="D11" s="2" t="inlineStr">
        <is>
          <t xml:space="preserve"/>
        </is>
      </c>
      <c r="E11" s="2">
        <f>B11*D11</f>
      </c>
    </row>
    <row r="12">
      <c r="A12" t="inlineStr">
        <is>
          <t xml:space="preserve">Cerradura de gancho con candado</t>
        </is>
      </c>
      <c r="B12">
        <v>3</v>
      </c>
      <c r="C12" t="inlineStr">
        <is>
          <t xml:space="preserve">u</t>
        </is>
      </c>
      <c r="D12" s="2" t="inlineStr">
        <is>
          <t xml:space="preserve"/>
        </is>
      </c>
      <c r="E12" s="2">
        <f>B12*D12</f>
      </c>
      <c r="F12" t="inlineStr">
        <is>
          <t xml:space="preserve">Sobre el cierre central de cada vano</t>
        </is>
      </c>
    </row>
    <row r="13">
      <c r="A13" t="inlineStr">
        <is>
          <t xml:space="preserve">Jaladera tubular para puerta</t>
        </is>
      </c>
      <c r="B13">
        <v>6</v>
      </c>
      <c r="C13" t="inlineStr">
        <is>
          <t xml:space="preserve">u</t>
        </is>
      </c>
      <c r="D13" s="2" t="inlineStr">
        <is>
          <t xml:space="preserve"/>
        </is>
      </c>
      <c r="E13" s="2">
        <f>B13*D13</f>
      </c>
    </row>
    <row r="14">
      <c r="A14" t="inlineStr">
        <is>
          <t xml:space="preserve">Platina de anclaje 100×100×6 mm</t>
        </is>
      </c>
      <c r="B14">
        <v>64</v>
      </c>
      <c r="C14" t="inlineStr">
        <is>
          <t xml:space="preserve">u</t>
        </is>
      </c>
      <c r="D14" s="2" t="inlineStr">
        <is>
          <t xml:space="preserve"/>
        </is>
      </c>
      <c r="E14" s="2">
        <f>B14*D14</f>
      </c>
      <c r="F14" t="inlineStr">
        <is>
          <t xml:space="preserve">40 en paneles + 24 bajo los rieles</t>
        </is>
      </c>
    </row>
    <row r="15">
      <c r="A15" t="inlineStr">
        <is>
          <t xml:space="preserve">Perno de anclaje de expansión 3/8″ × 3″</t>
        </is>
      </c>
      <c r="B15">
        <v>128</v>
      </c>
      <c r="C15" t="inlineStr">
        <is>
          <t xml:space="preserve">u</t>
        </is>
      </c>
      <c r="D15" s="2" t="inlineStr">
        <is>
          <t xml:space="preserve"/>
        </is>
      </c>
      <c r="E15" s="2">
        <f>B15*D15</f>
      </c>
      <c r="F15" t="inlineStr">
        <is>
          <t xml:space="preserve">2 por platina</t>
        </is>
      </c>
    </row>
    <row r="16">
      <c r="A16" t="inlineStr">
        <is>
          <t xml:space="preserve">Pintura anticorrosiva (galón)</t>
        </is>
      </c>
      <c r="B16">
        <v>2</v>
      </c>
      <c r="C16" t="inlineStr">
        <is>
          <t xml:space="preserve">gal</t>
        </is>
      </c>
      <c r="D16" s="2" t="inlineStr">
        <is>
          <t xml:space="preserve"/>
        </is>
      </c>
      <c r="E16" s="2">
        <f>B16*D16</f>
      </c>
      <c r="F16" t="inlineStr">
        <is>
          <t xml:space="preserve">Área de tubo: 46,0 m², una mano</t>
        </is>
      </c>
    </row>
    <row r="17">
      <c r="A17" t="inlineStr">
        <is>
          <t xml:space="preserve">Esmalte negro para exterior (galón)</t>
        </is>
      </c>
      <c r="B17">
        <v>4</v>
      </c>
      <c r="C17" t="inlineStr">
        <is>
          <t xml:space="preserve">gal</t>
        </is>
      </c>
      <c r="D17" s="2" t="inlineStr">
        <is>
          <t xml:space="preserve"/>
        </is>
      </c>
      <c r="E17" s="2">
        <f>B17*D17</f>
      </c>
      <c r="F17" t="inlineStr">
        <is>
          <t xml:space="preserve">Dos manos</t>
        </is>
      </c>
    </row>
    <row r="18">
      <c r="A18" t="inlineStr">
        <is>
          <t xml:space="preserve">Soldadura: electrodos 6011 de 3/32″</t>
        </is>
      </c>
      <c r="B18">
        <v>6</v>
      </c>
      <c r="C18" t="inlineStr">
        <is>
          <t xml:space="preserve">lb</t>
        </is>
      </c>
      <c r="D18" s="2" t="inlineStr">
        <is>
          <t xml:space="preserve"/>
        </is>
      </c>
      <c r="E18" s="2">
        <f>B18*D18</f>
      </c>
      <c r="F18" t="inlineStr">
        <is>
          <t xml:space="preserve">Mi cálculo para 620 uniones soldadas. Con las medidas anteriores usaste 3 lb</t>
        </is>
      </c>
    </row>
    <row r="19">
      <c r="A19" t="inlineStr">
        <is>
          <t xml:space="preserve">Mano de obra: corte, soldadura, pintura e instalación</t>
        </is>
      </c>
      <c r="B19">
        <v>1</v>
      </c>
      <c r="C19" t="inlineStr">
        <is>
          <t xml:space="preserve">global</t>
        </is>
      </c>
      <c r="D19" s="2" t="inlineStr">
        <is>
          <t xml:space="preserve"/>
        </is>
      </c>
      <c r="E19" s="2">
        <f>B19*D19</f>
      </c>
    </row>
    <row r="20">
      <c r="A20" s="1" t="inlineStr">
        <is>
          <t xml:space="preserve">Subtotal</t>
        </is>
      </c>
      <c r="E20" s="2">
        <f>SUM(E5:E19)</f>
      </c>
    </row>
    <row r="21">
      <c r="A21" s="1" t="inlineStr">
        <is>
          <t xml:space="preserve">IVA 15 %</t>
        </is>
      </c>
      <c r="E21" s="2">
        <f>E20*0.15</f>
      </c>
    </row>
    <row r="22">
      <c r="A22" s="1" t="inlineStr">
        <is>
          <t xml:space="preserve">Total</t>
        </is>
      </c>
      <c r="E22" s="2">
        <f>E20+E21</f>
      </c>
    </row>
  </sheetData>
</worksheet>
</file>

<file path=xl/worksheets/sheet2.xml><?xml version="1.0" encoding="utf-8"?>
<worksheet xmlns="http://schemas.openxmlformats.org/spreadsheetml/2006/main">
  <cols>
    <col min="1" max="1" width="8" customWidth="1"/>
    <col min="2" max="2" width="90" customWidth="1"/>
    <col min="3" max="3" width="11" customWidth="1"/>
  </cols>
  <sheetData>
    <row r="1">
      <c r="A1" s="1" t="inlineStr">
        <is>
          <t xml:space="preserve">Plan de corte (barras de 6 m)</t>
        </is>
      </c>
    </row>
    <row r="2">
      <c r="A2" s="1" t="inlineStr">
        <is>
          <t xml:space="preserve">Barra</t>
        </is>
      </c>
      <c r="B2" s="1" t="inlineStr">
        <is>
          <t xml:space="preserve">Cortes</t>
        </is>
      </c>
      <c r="C2" s="1" t="inlineStr">
        <is>
          <t xml:space="preserve">Sobra (m)</t>
        </is>
      </c>
    </row>
    <row r="3">
      <c r="A3">
        <v>1</v>
      </c>
      <c r="B3" t="inlineStr">
        <is>
          <t xml:space="preserve">1 × 3,550 m (Lado) + 1 × 1,970 m (Fijo)</t>
        </is>
      </c>
      <c r="C3">
        <v>0.47</v>
      </c>
    </row>
    <row r="4">
      <c r="A4">
        <v>2</v>
      </c>
      <c r="B4" t="inlineStr">
        <is>
          <t xml:space="preserve">1 × 3,550 m (Lado) + 1 × 1,970 m (Fijo)</t>
        </is>
      </c>
      <c r="C4">
        <v>0.47</v>
      </c>
    </row>
    <row r="5">
      <c r="A5">
        <v>3</v>
      </c>
      <c r="B5" t="inlineStr">
        <is>
          <t xml:space="preserve">1 × 3,550 m (Lado) + 1 × 1,970 m (Fijo)</t>
        </is>
      </c>
      <c r="C5">
        <v>0.47</v>
      </c>
    </row>
    <row r="6">
      <c r="A6">
        <v>4</v>
      </c>
      <c r="B6" t="inlineStr">
        <is>
          <t xml:space="preserve">1 × 3,325 m (Lado) + 1 × 1,970 m (Fijo)</t>
        </is>
      </c>
      <c r="C6">
        <v>0.7</v>
      </c>
    </row>
    <row r="7">
      <c r="A7">
        <v>5</v>
      </c>
      <c r="B7" t="inlineStr">
        <is>
          <t xml:space="preserve">1 × 3,325 m (Lado) + 1 × 1,970 m (Fijo)</t>
        </is>
      </c>
      <c r="C7">
        <v>0.7</v>
      </c>
    </row>
    <row r="8">
      <c r="A8">
        <v>6</v>
      </c>
      <c r="B8" t="inlineStr">
        <is>
          <t xml:space="preserve">1 × 3,325 m (Lado) + 1 × 1,970 m (Fijo)</t>
        </is>
      </c>
      <c r="C8">
        <v>0.7</v>
      </c>
    </row>
    <row r="9">
      <c r="A9">
        <v>7</v>
      </c>
      <c r="B9" t="inlineStr">
        <is>
          <t xml:space="preserve">3 × 1,970 m (Fijo)</t>
        </is>
      </c>
      <c r="C9">
        <v>0.08</v>
      </c>
    </row>
    <row r="10">
      <c r="A10">
        <v>8</v>
      </c>
      <c r="B10" t="inlineStr">
        <is>
          <t xml:space="preserve">3 × 1,970 m (Fijo)</t>
        </is>
      </c>
      <c r="C10">
        <v>0.08</v>
      </c>
    </row>
    <row r="11">
      <c r="A11">
        <v>9</v>
      </c>
      <c r="B11" t="inlineStr">
        <is>
          <t xml:space="preserve">3 × 1,970 m (Fijo)</t>
        </is>
      </c>
      <c r="C11">
        <v>0.08</v>
      </c>
    </row>
    <row r="12">
      <c r="A12">
        <v>10</v>
      </c>
      <c r="B12" t="inlineStr">
        <is>
          <t xml:space="preserve">3 × 1,970 m (Fijo)</t>
        </is>
      </c>
      <c r="C12">
        <v>0.08</v>
      </c>
    </row>
    <row r="13">
      <c r="A13">
        <v>11</v>
      </c>
      <c r="B13" t="inlineStr">
        <is>
          <t xml:space="preserve">3 × 1,970 m (Fijo)</t>
        </is>
      </c>
      <c r="C13">
        <v>0.08</v>
      </c>
    </row>
    <row r="14">
      <c r="A14">
        <v>12</v>
      </c>
      <c r="B14" t="inlineStr">
        <is>
          <t xml:space="preserve">3 × 1,970 m (Fijo)</t>
        </is>
      </c>
      <c r="C14">
        <v>0.08</v>
      </c>
    </row>
    <row r="15">
      <c r="A15">
        <v>13</v>
      </c>
      <c r="B15" t="inlineStr">
        <is>
          <t xml:space="preserve">3 × 1,970 m (Fijo)</t>
        </is>
      </c>
      <c r="C15">
        <v>0.08</v>
      </c>
    </row>
    <row r="16">
      <c r="A16">
        <v>14</v>
      </c>
      <c r="B16" t="inlineStr">
        <is>
          <t xml:space="preserve">3 × 1,970 m (Fijo)</t>
        </is>
      </c>
      <c r="C16">
        <v>0.08</v>
      </c>
    </row>
    <row r="17">
      <c r="A17">
        <v>15</v>
      </c>
      <c r="B17" t="inlineStr">
        <is>
          <t xml:space="preserve">3 × 1,970 m (Fijo)</t>
        </is>
      </c>
      <c r="C17">
        <v>0.08</v>
      </c>
    </row>
    <row r="18">
      <c r="A18">
        <v>16</v>
      </c>
      <c r="B18" t="inlineStr">
        <is>
          <t xml:space="preserve">3 × 1,970 m (Fijo)</t>
        </is>
      </c>
      <c r="C18">
        <v>0.08</v>
      </c>
    </row>
    <row r="19">
      <c r="A19">
        <v>17</v>
      </c>
      <c r="B19" t="inlineStr">
        <is>
          <t xml:space="preserve">3 × 1,970 m (Fijo)</t>
        </is>
      </c>
      <c r="C19">
        <v>0.08</v>
      </c>
    </row>
    <row r="20">
      <c r="A20">
        <v>18</v>
      </c>
      <c r="B20" t="inlineStr">
        <is>
          <t xml:space="preserve">3 × 1,970 m (Fijo)</t>
        </is>
      </c>
      <c r="C20">
        <v>0.08</v>
      </c>
    </row>
    <row r="21">
      <c r="A21">
        <v>19</v>
      </c>
      <c r="B21" t="inlineStr">
        <is>
          <t xml:space="preserve">3 × 1,970 m (Fijo)</t>
        </is>
      </c>
      <c r="C21">
        <v>0.08</v>
      </c>
    </row>
    <row r="22">
      <c r="A22">
        <v>20</v>
      </c>
      <c r="B22" t="inlineStr">
        <is>
          <t xml:space="preserve">3 × 1,970 m (Fijo)</t>
        </is>
      </c>
      <c r="C22">
        <v>0.08</v>
      </c>
    </row>
    <row r="23">
      <c r="A23">
        <v>21</v>
      </c>
      <c r="B23" t="inlineStr">
        <is>
          <t xml:space="preserve">3 × 1,970 m (Fijo)</t>
        </is>
      </c>
      <c r="C23">
        <v>0.08</v>
      </c>
    </row>
    <row r="24">
      <c r="A24">
        <v>22</v>
      </c>
      <c r="B24" t="inlineStr">
        <is>
          <t xml:space="preserve">3 × 1,970 m (Fijo)</t>
        </is>
      </c>
      <c r="C24">
        <v>0.08</v>
      </c>
    </row>
    <row r="25">
      <c r="A25">
        <v>23</v>
      </c>
      <c r="B25" t="inlineStr">
        <is>
          <t xml:space="preserve">3 × 1,970 m (Fijo)</t>
        </is>
      </c>
      <c r="C25">
        <v>0.08</v>
      </c>
    </row>
    <row r="26">
      <c r="A26">
        <v>24</v>
      </c>
      <c r="B26" t="inlineStr">
        <is>
          <t xml:space="preserve">3 × 1,970 m (Fijo)</t>
        </is>
      </c>
      <c r="C26">
        <v>0.08</v>
      </c>
    </row>
    <row r="27">
      <c r="A27">
        <v>25</v>
      </c>
      <c r="B27" t="inlineStr">
        <is>
          <t xml:space="preserve">3 × 1,970 m (Fijo)</t>
        </is>
      </c>
      <c r="C27">
        <v>0.08</v>
      </c>
    </row>
    <row r="28">
      <c r="A28">
        <v>26</v>
      </c>
      <c r="B28" t="inlineStr">
        <is>
          <t xml:space="preserve">3 × 1,970 m (Fijo)</t>
        </is>
      </c>
      <c r="C28">
        <v>0.08</v>
      </c>
    </row>
    <row r="29">
      <c r="A29">
        <v>27</v>
      </c>
      <c r="B29" t="inlineStr">
        <is>
          <t xml:space="preserve">3 × 1,970 m (Fijo)</t>
        </is>
      </c>
      <c r="C29">
        <v>0.08</v>
      </c>
    </row>
    <row r="30">
      <c r="A30">
        <v>28</v>
      </c>
      <c r="B30" t="inlineStr">
        <is>
          <t xml:space="preserve">3 × 1,970 m (Fijo)</t>
        </is>
      </c>
      <c r="C30">
        <v>0.08</v>
      </c>
    </row>
    <row r="31">
      <c r="A31">
        <v>29</v>
      </c>
      <c r="B31" t="inlineStr">
        <is>
          <t xml:space="preserve">3 × 1,970 m (Fijo)</t>
        </is>
      </c>
      <c r="C31">
        <v>0.08</v>
      </c>
    </row>
    <row r="32">
      <c r="A32">
        <v>30</v>
      </c>
      <c r="B32" t="inlineStr">
        <is>
          <t xml:space="preserve">3 × 1,970 m (Fijo)</t>
        </is>
      </c>
      <c r="C32">
        <v>0.08</v>
      </c>
    </row>
    <row r="33">
      <c r="A33">
        <v>31</v>
      </c>
      <c r="B33" t="inlineStr">
        <is>
          <t xml:space="preserve">3 × 1,970 m (Fijo)</t>
        </is>
      </c>
      <c r="C33">
        <v>0.08</v>
      </c>
    </row>
    <row r="34">
      <c r="A34">
        <v>32</v>
      </c>
      <c r="B34" t="inlineStr">
        <is>
          <t xml:space="preserve">3 × 1,970 m (Fijo)</t>
        </is>
      </c>
      <c r="C34">
        <v>0.08</v>
      </c>
    </row>
    <row r="35">
      <c r="A35">
        <v>33</v>
      </c>
      <c r="B35" t="inlineStr">
        <is>
          <t xml:space="preserve">3 × 1,970 m (Lado)</t>
        </is>
      </c>
      <c r="C35">
        <v>0.08</v>
      </c>
    </row>
    <row r="36">
      <c r="A36">
        <v>34</v>
      </c>
      <c r="B36" t="inlineStr">
        <is>
          <t xml:space="preserve">3 × 1,970 m (Lado)</t>
        </is>
      </c>
      <c r="C36">
        <v>0.08</v>
      </c>
    </row>
    <row r="37">
      <c r="A37">
        <v>35</v>
      </c>
      <c r="B37" t="inlineStr">
        <is>
          <t xml:space="preserve">3 × 1,970 m (Lado)</t>
        </is>
      </c>
      <c r="C37">
        <v>0.08</v>
      </c>
    </row>
    <row r="38">
      <c r="A38">
        <v>36</v>
      </c>
      <c r="B38" t="inlineStr">
        <is>
          <t xml:space="preserve">3 × 1,970 m (Lado)</t>
        </is>
      </c>
      <c r="C38">
        <v>0.08</v>
      </c>
    </row>
    <row r="39">
      <c r="A39">
        <v>37</v>
      </c>
      <c r="B39" t="inlineStr">
        <is>
          <t xml:space="preserve">3 × 1,970 m (Lado)</t>
        </is>
      </c>
      <c r="C39">
        <v>0.08</v>
      </c>
    </row>
    <row r="40">
      <c r="A40">
        <v>38</v>
      </c>
      <c r="B40" t="inlineStr">
        <is>
          <t xml:space="preserve">3 × 1,970 m (Lado)</t>
        </is>
      </c>
      <c r="C40">
        <v>0.08</v>
      </c>
    </row>
    <row r="41">
      <c r="A41">
        <v>39</v>
      </c>
      <c r="B41" t="inlineStr">
        <is>
          <t xml:space="preserve">3 × 1,970 m (Lado)</t>
        </is>
      </c>
      <c r="C41">
        <v>0.08</v>
      </c>
    </row>
    <row r="42">
      <c r="A42">
        <v>40</v>
      </c>
      <c r="B42" t="inlineStr">
        <is>
          <t xml:space="preserve">3 × 1,970 m (Lado)</t>
        </is>
      </c>
      <c r="C42">
        <v>0.08</v>
      </c>
    </row>
    <row r="43">
      <c r="A43">
        <v>41</v>
      </c>
      <c r="B43" t="inlineStr">
        <is>
          <t xml:space="preserve">3 × 1,970 m (Lado)</t>
        </is>
      </c>
      <c r="C43">
        <v>0.08</v>
      </c>
    </row>
    <row r="44">
      <c r="A44">
        <v>42</v>
      </c>
      <c r="B44" t="inlineStr">
        <is>
          <t xml:space="preserve">3 × 1,970 m (Lado)</t>
        </is>
      </c>
      <c r="C44">
        <v>0.08</v>
      </c>
    </row>
    <row r="45">
      <c r="A45">
        <v>43</v>
      </c>
      <c r="B45" t="inlineStr">
        <is>
          <t xml:space="preserve">3 × 1,970 m (Lado)</t>
        </is>
      </c>
      <c r="C45">
        <v>0.08</v>
      </c>
    </row>
    <row r="46">
      <c r="A46">
        <v>44</v>
      </c>
      <c r="B46" t="inlineStr">
        <is>
          <t xml:space="preserve">3 × 1,970 m (Lado)</t>
        </is>
      </c>
      <c r="C46">
        <v>0.08</v>
      </c>
    </row>
    <row r="47">
      <c r="A47">
        <v>45</v>
      </c>
      <c r="B47" t="inlineStr">
        <is>
          <t xml:space="preserve">3 × 1,970 m (Lado)</t>
        </is>
      </c>
      <c r="C47">
        <v>0.08</v>
      </c>
    </row>
    <row r="48">
      <c r="A48">
        <v>46</v>
      </c>
      <c r="B48" t="inlineStr">
        <is>
          <t xml:space="preserve">3 × 1,970 m (Lado)</t>
        </is>
      </c>
      <c r="C48">
        <v>0.08</v>
      </c>
    </row>
    <row r="49">
      <c r="A49">
        <v>47</v>
      </c>
      <c r="B49" t="inlineStr">
        <is>
          <t xml:space="preserve">3 × 1,970 m (Lado)</t>
        </is>
      </c>
      <c r="C49">
        <v>0.08</v>
      </c>
    </row>
    <row r="50">
      <c r="A50">
        <v>48</v>
      </c>
      <c r="B50" t="inlineStr">
        <is>
          <t xml:space="preserve">3 × 1,970 m (Lado)</t>
        </is>
      </c>
      <c r="C50">
        <v>0.08</v>
      </c>
    </row>
    <row r="51">
      <c r="A51">
        <v>49</v>
      </c>
      <c r="B51" t="inlineStr">
        <is>
          <t xml:space="preserve">3 × 1,970 m (Lado)</t>
        </is>
      </c>
      <c r="C51">
        <v>0.08</v>
      </c>
    </row>
    <row r="52">
      <c r="A52">
        <v>50</v>
      </c>
      <c r="B52" t="inlineStr">
        <is>
          <t xml:space="preserve">3 × 1,970 m (Lado)</t>
        </is>
      </c>
      <c r="C52">
        <v>0.08</v>
      </c>
    </row>
    <row r="53">
      <c r="A53">
        <v>51</v>
      </c>
      <c r="B53" t="inlineStr">
        <is>
          <t xml:space="preserve">3 × 1,970 m (Lado)</t>
        </is>
      </c>
      <c r="C53">
        <v>0.08</v>
      </c>
    </row>
    <row r="54">
      <c r="A54">
        <v>52</v>
      </c>
      <c r="B54" t="inlineStr">
        <is>
          <t xml:space="preserve">3 × 1,970 m (Lado)</t>
        </is>
      </c>
      <c r="C54">
        <v>0.08</v>
      </c>
    </row>
    <row r="55">
      <c r="A55">
        <v>53</v>
      </c>
      <c r="B55" t="inlineStr">
        <is>
          <t xml:space="preserve">3 × 1,970 m (Lado)</t>
        </is>
      </c>
      <c r="C55">
        <v>0.08</v>
      </c>
    </row>
    <row r="56">
      <c r="A56">
        <v>54</v>
      </c>
      <c r="B56" t="inlineStr">
        <is>
          <t xml:space="preserve">3 × 1,970 m (Lado)</t>
        </is>
      </c>
      <c r="C56">
        <v>0.08</v>
      </c>
    </row>
    <row r="57">
      <c r="A57">
        <v>55</v>
      </c>
      <c r="B57" t="inlineStr">
        <is>
          <t xml:space="preserve">3 × 1,970 m (Lado)</t>
        </is>
      </c>
      <c r="C57">
        <v>0.08</v>
      </c>
    </row>
    <row r="58">
      <c r="A58">
        <v>56</v>
      </c>
      <c r="B58" t="inlineStr">
        <is>
          <t xml:space="preserve">3 × 1,970 m (Lado)</t>
        </is>
      </c>
      <c r="C58">
        <v>0.08</v>
      </c>
    </row>
    <row r="59">
      <c r="A59">
        <v>57</v>
      </c>
      <c r="B59" t="inlineStr">
        <is>
          <t xml:space="preserve">3 × 1,970 m (Lado)</t>
        </is>
      </c>
      <c r="C59">
        <v>0.08</v>
      </c>
    </row>
    <row r="60">
      <c r="A60">
        <v>58</v>
      </c>
      <c r="B60" t="inlineStr">
        <is>
          <t xml:space="preserve">3 × 1,970 m (Lado)</t>
        </is>
      </c>
      <c r="C60">
        <v>0.08</v>
      </c>
    </row>
    <row r="61">
      <c r="A61">
        <v>59</v>
      </c>
      <c r="B61" t="inlineStr">
        <is>
          <t xml:space="preserve">3 × 1,970 m (Lado)</t>
        </is>
      </c>
      <c r="C61">
        <v>0.08</v>
      </c>
    </row>
    <row r="62">
      <c r="A62">
        <v>60</v>
      </c>
      <c r="B62" t="inlineStr">
        <is>
          <t xml:space="preserve">3 × 1,970 m (Lado)</t>
        </is>
      </c>
      <c r="C62">
        <v>0.08</v>
      </c>
    </row>
    <row r="63">
      <c r="A63">
        <v>61</v>
      </c>
      <c r="B63" t="inlineStr">
        <is>
          <t xml:space="preserve">3 × 1,970 m (Lado)</t>
        </is>
      </c>
      <c r="C63">
        <v>0.08</v>
      </c>
    </row>
    <row r="64">
      <c r="A64">
        <v>62</v>
      </c>
      <c r="B64" t="inlineStr">
        <is>
          <t xml:space="preserve">3 × 1,970 m (Lado)</t>
        </is>
      </c>
      <c r="C64">
        <v>0.08</v>
      </c>
    </row>
    <row r="65">
      <c r="A65">
        <v>63</v>
      </c>
      <c r="B65" t="inlineStr">
        <is>
          <t xml:space="preserve">3 × 1,970 m (Lado)</t>
        </is>
      </c>
      <c r="C65">
        <v>0.08</v>
      </c>
    </row>
    <row r="66">
      <c r="A66">
        <v>64</v>
      </c>
      <c r="B66" t="inlineStr">
        <is>
          <t xml:space="preserve">3 × 1,970 m (Lado)</t>
        </is>
      </c>
      <c r="C66">
        <v>0.08</v>
      </c>
    </row>
    <row r="67">
      <c r="A67">
        <v>65</v>
      </c>
      <c r="B67" t="inlineStr">
        <is>
          <t xml:space="preserve">3 × 1,970 m (Lado)</t>
        </is>
      </c>
      <c r="C67">
        <v>0.08</v>
      </c>
    </row>
    <row r="68">
      <c r="A68">
        <v>66</v>
      </c>
      <c r="B68" t="inlineStr">
        <is>
          <t xml:space="preserve">1 × 1,970 m (Lado) + 2 × 1,900 m (Puerta)</t>
        </is>
      </c>
      <c r="C68">
        <v>0.22</v>
      </c>
    </row>
    <row r="69">
      <c r="A69">
        <v>67</v>
      </c>
      <c r="B69" t="inlineStr">
        <is>
          <t xml:space="preserve">3 × 1,900 m (Puerta)</t>
        </is>
      </c>
      <c r="C69">
        <v>0.29</v>
      </c>
    </row>
    <row r="70">
      <c r="A70">
        <v>68</v>
      </c>
      <c r="B70" t="inlineStr">
        <is>
          <t xml:space="preserve">3 × 1,900 m (Puerta)</t>
        </is>
      </c>
      <c r="C70">
        <v>0.29</v>
      </c>
    </row>
    <row r="71">
      <c r="A71">
        <v>69</v>
      </c>
      <c r="B71" t="inlineStr">
        <is>
          <t xml:space="preserve">3 × 1,900 m (Puerta)</t>
        </is>
      </c>
      <c r="C71">
        <v>0.29</v>
      </c>
    </row>
    <row r="72">
      <c r="A72">
        <v>70</v>
      </c>
      <c r="B72" t="inlineStr">
        <is>
          <t xml:space="preserve">3 × 1,900 m (Puerta)</t>
        </is>
      </c>
      <c r="C72">
        <v>0.29</v>
      </c>
    </row>
    <row r="73">
      <c r="A73">
        <v>71</v>
      </c>
      <c r="B73" t="inlineStr">
        <is>
          <t xml:space="preserve">3 × 1,900 m (Puerta)</t>
        </is>
      </c>
      <c r="C73">
        <v>0.29</v>
      </c>
    </row>
    <row r="74">
      <c r="A74">
        <v>72</v>
      </c>
      <c r="B74" t="inlineStr">
        <is>
          <t xml:space="preserve">3 × 1,900 m (Puerta)</t>
        </is>
      </c>
      <c r="C74">
        <v>0.29</v>
      </c>
    </row>
    <row r="75">
      <c r="A75">
        <v>73</v>
      </c>
      <c r="B75" t="inlineStr">
        <is>
          <t xml:space="preserve">3 × 1,900 m (Puerta)</t>
        </is>
      </c>
      <c r="C75">
        <v>0.29</v>
      </c>
    </row>
    <row r="76">
      <c r="A76">
        <v>74</v>
      </c>
      <c r="B76" t="inlineStr">
        <is>
          <t xml:space="preserve">3 × 1,900 m (Puerta)</t>
        </is>
      </c>
      <c r="C76">
        <v>0.29</v>
      </c>
    </row>
    <row r="77">
      <c r="A77">
        <v>75</v>
      </c>
      <c r="B77" t="inlineStr">
        <is>
          <t xml:space="preserve">3 × 1,900 m (Puerta)</t>
        </is>
      </c>
      <c r="C77">
        <v>0.29</v>
      </c>
    </row>
    <row r="78">
      <c r="A78">
        <v>76</v>
      </c>
      <c r="B78" t="inlineStr">
        <is>
          <t xml:space="preserve">3 × 1,900 m (Puerta)</t>
        </is>
      </c>
      <c r="C78">
        <v>0.29</v>
      </c>
    </row>
    <row r="79">
      <c r="A79">
        <v>77</v>
      </c>
      <c r="B79" t="inlineStr">
        <is>
          <t xml:space="preserve">3 × 1,900 m (Puerta)</t>
        </is>
      </c>
      <c r="C79">
        <v>0.29</v>
      </c>
    </row>
    <row r="80">
      <c r="A80">
        <v>78</v>
      </c>
      <c r="B80" t="inlineStr">
        <is>
          <t xml:space="preserve">3 × 1,900 m (Puerta)</t>
        </is>
      </c>
      <c r="C80">
        <v>0.29</v>
      </c>
    </row>
    <row r="81">
      <c r="A81">
        <v>79</v>
      </c>
      <c r="B81" t="inlineStr">
        <is>
          <t xml:space="preserve">3 × 1,900 m (Puerta)</t>
        </is>
      </c>
      <c r="C81">
        <v>0.29</v>
      </c>
    </row>
    <row r="82">
      <c r="A82">
        <v>80</v>
      </c>
      <c r="B82" t="inlineStr">
        <is>
          <t xml:space="preserve">3 × 1,900 m (Puerta)</t>
        </is>
      </c>
      <c r="C82">
        <v>0.29</v>
      </c>
    </row>
    <row r="83">
      <c r="A83">
        <v>81</v>
      </c>
      <c r="B83" t="inlineStr">
        <is>
          <t xml:space="preserve">3 × 1,900 m (Puerta)</t>
        </is>
      </c>
      <c r="C83">
        <v>0.29</v>
      </c>
    </row>
    <row r="84">
      <c r="A84">
        <v>82</v>
      </c>
      <c r="B84" t="inlineStr">
        <is>
          <t xml:space="preserve">3 × 1,900 m (Puerta)</t>
        </is>
      </c>
      <c r="C84">
        <v>0.29</v>
      </c>
    </row>
    <row r="85">
      <c r="A85">
        <v>83</v>
      </c>
      <c r="B85" t="inlineStr">
        <is>
          <t xml:space="preserve">3 × 1,900 m (Puerta)</t>
        </is>
      </c>
      <c r="C85">
        <v>0.29</v>
      </c>
    </row>
    <row r="86">
      <c r="A86">
        <v>84</v>
      </c>
      <c r="B86" t="inlineStr">
        <is>
          <t xml:space="preserve">3 × 1,900 m (Puerta)</t>
        </is>
      </c>
      <c r="C86">
        <v>0.29</v>
      </c>
    </row>
    <row r="87">
      <c r="A87">
        <v>85</v>
      </c>
      <c r="B87" t="inlineStr">
        <is>
          <t xml:space="preserve">3 × 1,900 m (Puerta)</t>
        </is>
      </c>
      <c r="C87">
        <v>0.29</v>
      </c>
    </row>
    <row r="88">
      <c r="A88">
        <v>86</v>
      </c>
      <c r="B88" t="inlineStr">
        <is>
          <t xml:space="preserve">3 × 1,900 m (Puerta)</t>
        </is>
      </c>
      <c r="C88">
        <v>0.29</v>
      </c>
    </row>
    <row r="89">
      <c r="A89">
        <v>87</v>
      </c>
      <c r="B89" t="inlineStr">
        <is>
          <t xml:space="preserve">3 × 1,900 m (Puerta)</t>
        </is>
      </c>
      <c r="C89">
        <v>0.29</v>
      </c>
    </row>
    <row r="90">
      <c r="A90">
        <v>88</v>
      </c>
      <c r="B90" t="inlineStr">
        <is>
          <t xml:space="preserve">3 × 1,900 m (Puerta)</t>
        </is>
      </c>
      <c r="C90">
        <v>0.29</v>
      </c>
    </row>
    <row r="91">
      <c r="A91">
        <v>89</v>
      </c>
      <c r="B91" t="inlineStr">
        <is>
          <t xml:space="preserve">3 × 1,900 m (Puerta)</t>
        </is>
      </c>
      <c r="C91">
        <v>0.29</v>
      </c>
    </row>
    <row r="92">
      <c r="A92">
        <v>90</v>
      </c>
      <c r="B92" t="inlineStr">
        <is>
          <t xml:space="preserve">3 × 1,900 m (Puerta)</t>
        </is>
      </c>
      <c r="C92">
        <v>0.29</v>
      </c>
    </row>
    <row r="93">
      <c r="A93">
        <v>91</v>
      </c>
      <c r="B93" t="inlineStr">
        <is>
          <t xml:space="preserve">3 × 1,900 m (Puerta)</t>
        </is>
      </c>
      <c r="C93">
        <v>0.29</v>
      </c>
    </row>
    <row r="94">
      <c r="A94">
        <v>92</v>
      </c>
      <c r="B94" t="inlineStr">
        <is>
          <t xml:space="preserve">3 × 1,900 m (Puerta)</t>
        </is>
      </c>
      <c r="C94">
        <v>0.29</v>
      </c>
    </row>
    <row r="95">
      <c r="A95">
        <v>93</v>
      </c>
      <c r="B95" t="inlineStr">
        <is>
          <t xml:space="preserve">3 × 1,900 m (Puerta)</t>
        </is>
      </c>
      <c r="C95">
        <v>0.29</v>
      </c>
    </row>
    <row r="96">
      <c r="A96">
        <v>94</v>
      </c>
      <c r="B96" t="inlineStr">
        <is>
          <t xml:space="preserve">1 × 1,900 m (Puerta) + 4 × 0,888 m (Fijo)</t>
        </is>
      </c>
      <c r="C96">
        <v>0.54</v>
      </c>
    </row>
    <row r="97">
      <c r="A97">
        <v>95</v>
      </c>
      <c r="B97" t="inlineStr">
        <is>
          <t xml:space="preserve">6 × 0,888 m (Fijo)</t>
        </is>
      </c>
      <c r="C97">
        <v>0.66</v>
      </c>
    </row>
    <row r="98">
      <c r="A98">
        <v>96</v>
      </c>
      <c r="B98" t="inlineStr">
        <is>
          <t xml:space="preserve">6 × 0,888 m (Fijo)</t>
        </is>
      </c>
      <c r="C98">
        <v>0.66</v>
      </c>
    </row>
    <row r="99">
      <c r="A99">
        <v>97</v>
      </c>
      <c r="B99" t="inlineStr">
        <is>
          <t xml:space="preserve">2 × 0,888 m (Fijo) + 4 × 0,888 m (Puerta)</t>
        </is>
      </c>
      <c r="C99">
        <v>0.66</v>
      </c>
    </row>
    <row r="100">
      <c r="A100">
        <v>98</v>
      </c>
      <c r="B100" t="inlineStr">
        <is>
          <t xml:space="preserve">6 × 0,888 m (Puerta)</t>
        </is>
      </c>
      <c r="C100">
        <v>0.66</v>
      </c>
    </row>
    <row r="101">
      <c r="A101">
        <v>99</v>
      </c>
      <c r="B101" t="inlineStr">
        <is>
          <t xml:space="preserve">6 × 0,888 m (Puerta)</t>
        </is>
      </c>
      <c r="C101">
        <v>0.66</v>
      </c>
    </row>
    <row r="102">
      <c r="A102">
        <v>100</v>
      </c>
      <c r="B102" t="inlineStr">
        <is>
          <t xml:space="preserve">2 × 0,888 m (Puerta)</t>
        </is>
      </c>
      <c r="C102">
        <v>4.22</v>
      </c>
    </row>
  </sheetData>
</worksheet>
</file>