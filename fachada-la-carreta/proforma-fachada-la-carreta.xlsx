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" sheetId="1" r:id="rId1"/>
    <sheet name="Plan de corte" sheetId="2" r:id="rId2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2" customWidth="1"/>
    <col min="2" max="2" width="8" customWidth="1"/>
    <col min="3" max="3" width="9" customWidth="1"/>
    <col min="4" max="4" width="13" customWidth="1"/>
    <col min="5" max="5" width="13" customWidth="1"/>
    <col min="6" max="6" width="70" customWidth="1"/>
  </cols>
  <sheetData>
    <row r="1">
      <c r="A1" s="1" t="inlineStr">
        <is>
          <t xml:space="preserve">Proforma de materiales — Fachada La Carreta</t>
        </is>
      </c>
    </row>
    <row r="2">
      <c r="A2" t="inlineStr">
        <is>
          <t xml:space="preserve">Frente 4,00 m · Alto 4,00 m · Fondo 4,00 m · Tubo 20×20 mm</t>
        </is>
      </c>
    </row>
    <row r="3"/>
    <row r="4">
      <c r="A4" s="1" t="inlineStr">
        <is>
          <t xml:space="preserve">Material</t>
        </is>
      </c>
      <c r="B4" s="1" t="inlineStr">
        <is>
          <t xml:space="preserve">Cant.</t>
        </is>
      </c>
      <c r="C4" s="1" t="inlineStr">
        <is>
          <t xml:space="preserve">Unidad</t>
        </is>
      </c>
      <c r="D4" s="1" t="inlineStr">
        <is>
          <t xml:space="preserve">P. unit. ($)</t>
        </is>
      </c>
      <c r="E4" s="1" t="inlineStr">
        <is>
          <t xml:space="preserve">Total ($)</t>
        </is>
      </c>
      <c r="F4" s="1" t="inlineStr">
        <is>
          <t xml:space="preserve">Nota</t>
        </is>
      </c>
    </row>
    <row r="5">
      <c r="A5" t="inlineStr">
        <is>
          <t xml:space="preserve">Tubo cuadrado 20×20×1,5 mm, barra de 6 m</t>
        </is>
      </c>
      <c r="B5">
        <v>39</v>
      </c>
      <c r="C5" t="inlineStr">
        <is>
          <t xml:space="preserve">barras</t>
        </is>
      </c>
      <c r="D5" s="2">
        <v>7.5</v>
      </c>
      <c r="E5" s="2">
        <f>B5*D5</f>
      </c>
      <c r="F5" t="inlineStr">
        <is>
          <t xml:space="preserve">Precio base: $7,50 por barra (tu dato) · sobrante 10,10 m</t>
        </is>
      </c>
    </row>
    <row r="6">
      <c r="A6" t="inlineStr">
        <is>
          <t xml:space="preserve">Varilla lisa 5/8″ (riel inferior), barra de 6 m</t>
        </is>
      </c>
      <c r="B6">
        <v>1</v>
      </c>
      <c r="C6" t="inlineStr">
        <is>
          <t xml:space="preserve">barras</t>
        </is>
      </c>
      <c r="D6" s="2" t="inlineStr">
        <is>
          <t xml:space="preserve"/>
        </is>
      </c>
      <c r="E6" s="2">
        <f>B6*D6</f>
      </c>
      <c r="F6" t="inlineStr">
        <is>
          <t xml:space="preserve">Un riel de 3,55 m (luz entre columnas) por vano con puertas</t>
        </is>
      </c>
    </row>
    <row r="7">
      <c r="A7" t="inlineStr">
        <is>
          <t xml:space="preserve">Canal U 80×40×3 mm (guía superior), barra de 6 m</t>
        </is>
      </c>
      <c r="B7">
        <v>1</v>
      </c>
      <c r="C7" t="inlineStr">
        <is>
          <t xml:space="preserve">barras</t>
        </is>
      </c>
      <c r="D7" s="2" t="inlineStr">
        <is>
          <t xml:space="preserve"/>
        </is>
      </c>
      <c r="E7" s="2">
        <f>B7*D7</f>
      </c>
      <c r="F7" t="inlineStr">
        <is>
          <t xml:space="preserve">Una guía de 3,55 m (luz entre columnas) por vano con puertas</t>
        </is>
      </c>
    </row>
    <row r="8">
      <c r="A8" t="inlineStr">
        <is>
          <t xml:space="preserve">Ruedas con garganta en V Ø80 mm, rodamiento sellado, ≥100 kg</t>
        </is>
      </c>
      <c r="B8">
        <v>4</v>
      </c>
      <c r="C8" t="inlineStr">
        <is>
          <t xml:space="preserve">u</t>
        </is>
      </c>
      <c r="D8" s="2" t="inlineStr">
        <is>
          <t xml:space="preserve"/>
        </is>
      </c>
      <c r="E8" s="2">
        <f>B8*D8</f>
      </c>
      <c r="F8" t="inlineStr">
        <is>
          <t xml:space="preserve">2 por puerta</t>
        </is>
      </c>
    </row>
    <row r="9">
      <c r="A9" t="inlineStr">
        <is>
          <t xml:space="preserve">Rodillos guía de nylon para la guía superior</t>
        </is>
      </c>
      <c r="B9">
        <v>4</v>
      </c>
      <c r="C9" t="inlineStr">
        <is>
          <t xml:space="preserve">u</t>
        </is>
      </c>
      <c r="D9" s="2" t="inlineStr">
        <is>
          <t xml:space="preserve"/>
        </is>
      </c>
      <c r="E9" s="2">
        <f>B9*D9</f>
      </c>
      <c r="F9" t="inlineStr">
        <is>
          <t xml:space="preserve">2 por puerta</t>
        </is>
      </c>
    </row>
    <row r="10">
      <c r="A10" t="inlineStr">
        <is>
          <t xml:space="preserve">Topes de apertura (platina + goma)</t>
        </is>
      </c>
      <c r="B10">
        <v>4</v>
      </c>
      <c r="C10" t="inlineStr">
        <is>
          <t xml:space="preserve">u</t>
        </is>
      </c>
      <c r="D10" s="2" t="inlineStr">
        <is>
          <t xml:space="preserve"/>
        </is>
      </c>
      <c r="E10" s="2">
        <f>B10*D10</f>
      </c>
    </row>
    <row r="11">
      <c r="A11" t="inlineStr">
        <is>
          <t xml:space="preserve">Pasador de piso para puerta corrediza</t>
        </is>
      </c>
      <c r="B11">
        <v>2</v>
      </c>
      <c r="C11" t="inlineStr">
        <is>
          <t xml:space="preserve">u</t>
        </is>
      </c>
      <c r="D11" s="2" t="inlineStr">
        <is>
          <t xml:space="preserve"/>
        </is>
      </c>
      <c r="E11" s="2">
        <f>B11*D11</f>
      </c>
    </row>
    <row r="12">
      <c r="A12" t="inlineStr">
        <is>
          <t xml:space="preserve">Cerradura de gancho con candado</t>
        </is>
      </c>
      <c r="B12">
        <v>1</v>
      </c>
      <c r="C12" t="inlineStr">
        <is>
          <t xml:space="preserve">u</t>
        </is>
      </c>
      <c r="D12" s="2" t="inlineStr">
        <is>
          <t xml:space="preserve"/>
        </is>
      </c>
      <c r="E12" s="2">
        <f>B12*D12</f>
      </c>
      <c r="F12" t="inlineStr">
        <is>
          <t xml:space="preserve">Sobre el cierre central de cada vano</t>
        </is>
      </c>
    </row>
    <row r="13">
      <c r="A13" t="inlineStr">
        <is>
          <t xml:space="preserve">Jaladera tubular para puerta</t>
        </is>
      </c>
      <c r="B13">
        <v>2</v>
      </c>
      <c r="C13" t="inlineStr">
        <is>
          <t xml:space="preserve">u</t>
        </is>
      </c>
      <c r="D13" s="2" t="inlineStr">
        <is>
          <t xml:space="preserve"/>
        </is>
      </c>
      <c r="E13" s="2">
        <f>B13*D13</f>
      </c>
    </row>
    <row r="14">
      <c r="A14" t="inlineStr">
        <is>
          <t xml:space="preserve">Platina de anclaje 100×100×6 mm</t>
        </is>
      </c>
      <c r="B14">
        <v>24</v>
      </c>
      <c r="C14" t="inlineStr">
        <is>
          <t xml:space="preserve">u</t>
        </is>
      </c>
      <c r="D14" s="2" t="inlineStr">
        <is>
          <t xml:space="preserve"/>
        </is>
      </c>
      <c r="E14" s="2">
        <f>B14*D14</f>
      </c>
      <c r="F14" t="inlineStr">
        <is>
          <t xml:space="preserve">16 en paneles + 8 bajo los rieles</t>
        </is>
      </c>
    </row>
    <row r="15">
      <c r="A15" t="inlineStr">
        <is>
          <t xml:space="preserve">Perno de anclaje de expansión 3/8″ × 3″</t>
        </is>
      </c>
      <c r="B15">
        <v>48</v>
      </c>
      <c r="C15" t="inlineStr">
        <is>
          <t xml:space="preserve">u</t>
        </is>
      </c>
      <c r="D15" s="2" t="inlineStr">
        <is>
          <t xml:space="preserve"/>
        </is>
      </c>
      <c r="E15" s="2">
        <f>B15*D15</f>
      </c>
      <c r="F15" t="inlineStr">
        <is>
          <t xml:space="preserve">2 por platina</t>
        </is>
      </c>
    </row>
    <row r="16">
      <c r="A16" t="inlineStr">
        <is>
          <t xml:space="preserve">Pintura anticorrosiva (galón)</t>
        </is>
      </c>
      <c r="B16">
        <v>1</v>
      </c>
      <c r="C16" t="inlineStr">
        <is>
          <t xml:space="preserve">gal</t>
        </is>
      </c>
      <c r="D16" s="2" t="inlineStr">
        <is>
          <t xml:space="preserve"/>
        </is>
      </c>
      <c r="E16" s="2">
        <f>B16*D16</f>
      </c>
      <c r="F16" t="inlineStr">
        <is>
          <t xml:space="preserve">Área de tubo: 17,9 m², una mano</t>
        </is>
      </c>
    </row>
    <row r="17">
      <c r="A17" t="inlineStr">
        <is>
          <t xml:space="preserve">Esmalte negro para exterior (galón)</t>
        </is>
      </c>
      <c r="B17">
        <v>2</v>
      </c>
      <c r="C17" t="inlineStr">
        <is>
          <t xml:space="preserve">gal</t>
        </is>
      </c>
      <c r="D17" s="2" t="inlineStr">
        <is>
          <t xml:space="preserve"/>
        </is>
      </c>
      <c r="E17" s="2">
        <f>B17*D17</f>
      </c>
      <c r="F17" t="inlineStr">
        <is>
          <t xml:space="preserve">Dos manos</t>
        </is>
      </c>
    </row>
    <row r="18">
      <c r="A18" t="inlineStr">
        <is>
          <t xml:space="preserve">Soldadura: electrodos 6011 de 3/32″</t>
        </is>
      </c>
      <c r="B18">
        <v>3</v>
      </c>
      <c r="C18" t="inlineStr">
        <is>
          <t xml:space="preserve">lb</t>
        </is>
      </c>
      <c r="D18" s="2" t="inlineStr">
        <is>
          <t xml:space="preserve"/>
        </is>
      </c>
      <c r="E18" s="2">
        <f>B18*D18</f>
      </c>
      <c r="F18" t="inlineStr">
        <is>
          <t xml:space="preserve">Mi cálculo para 238 uniones soldadas. Con las medidas anteriores usaste 3 lb</t>
        </is>
      </c>
    </row>
    <row r="19">
      <c r="A19" t="inlineStr">
        <is>
          <t xml:space="preserve">Mano de obra: corte, soldadura, pintura e instalación</t>
        </is>
      </c>
      <c r="B19">
        <v>1</v>
      </c>
      <c r="C19" t="inlineStr">
        <is>
          <t xml:space="preserve">global</t>
        </is>
      </c>
      <c r="D19" s="2" t="inlineStr">
        <is>
          <t xml:space="preserve"/>
        </is>
      </c>
      <c r="E19" s="2">
        <f>B19*D19</f>
      </c>
    </row>
    <row r="20">
      <c r="A20" s="1" t="inlineStr">
        <is>
          <t xml:space="preserve">Subtotal</t>
        </is>
      </c>
      <c r="E20" s="2">
        <f>SUM(E5:E19)</f>
      </c>
    </row>
    <row r="21">
      <c r="A21" s="1" t="inlineStr">
        <is>
          <t xml:space="preserve">IVA 15 %</t>
        </is>
      </c>
      <c r="E21" s="2">
        <f>E20*0.15</f>
      </c>
    </row>
    <row r="22">
      <c r="A22" s="1" t="inlineStr">
        <is>
          <t xml:space="preserve">Total</t>
        </is>
      </c>
      <c r="E22" s="2">
        <f>E20+E21</f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90" customWidth="1"/>
    <col min="3" max="3" width="11" customWidth="1"/>
  </cols>
  <sheetData>
    <row r="1">
      <c r="A1" s="1" t="inlineStr">
        <is>
          <t xml:space="preserve">Plan de corte (barras de 6 m)</t>
        </is>
      </c>
    </row>
    <row r="2">
      <c r="A2" s="1" t="inlineStr">
        <is>
          <t xml:space="preserve">Barra</t>
        </is>
      </c>
      <c r="B2" s="1" t="inlineStr">
        <is>
          <t xml:space="preserve">Cortes</t>
        </is>
      </c>
      <c r="C2" s="1" t="inlineStr">
        <is>
          <t xml:space="preserve">Sobra (m)</t>
        </is>
      </c>
    </row>
    <row r="3">
      <c r="A3">
        <v>1</v>
      </c>
      <c r="B3" t="inlineStr">
        <is>
          <t xml:space="preserve">1 × 3,325 m (Lado) + 1 × 1,970 m (Fijo)</t>
        </is>
      </c>
      <c r="C3">
        <v>0.7</v>
      </c>
    </row>
    <row r="4">
      <c r="A4">
        <v>2</v>
      </c>
      <c r="B4" t="inlineStr">
        <is>
          <t xml:space="preserve">1 × 3,325 m (Lado) + 1 × 1,970 m (Fijo)</t>
        </is>
      </c>
      <c r="C4">
        <v>0.7</v>
      </c>
    </row>
    <row r="5">
      <c r="A5">
        <v>3</v>
      </c>
      <c r="B5" t="inlineStr">
        <is>
          <t xml:space="preserve">1 × 3,325 m (Lado) + 1 × 1,970 m (Fijo)</t>
        </is>
      </c>
      <c r="C5">
        <v>0.7</v>
      </c>
    </row>
    <row r="6">
      <c r="A6">
        <v>4</v>
      </c>
      <c r="B6" t="inlineStr">
        <is>
          <t xml:space="preserve">3 × 1,970 m (Fijo)</t>
        </is>
      </c>
      <c r="C6">
        <v>0.08</v>
      </c>
    </row>
    <row r="7">
      <c r="A7">
        <v>5</v>
      </c>
      <c r="B7" t="inlineStr">
        <is>
          <t xml:space="preserve">3 × 1,970 m (Fijo)</t>
        </is>
      </c>
      <c r="C7">
        <v>0.08</v>
      </c>
    </row>
    <row r="8">
      <c r="A8">
        <v>6</v>
      </c>
      <c r="B8" t="inlineStr">
        <is>
          <t xml:space="preserve">3 × 1,970 m (Fijo)</t>
        </is>
      </c>
      <c r="C8">
        <v>0.08</v>
      </c>
    </row>
    <row r="9">
      <c r="A9">
        <v>7</v>
      </c>
      <c r="B9" t="inlineStr">
        <is>
          <t xml:space="preserve">3 × 1,970 m (Fijo)</t>
        </is>
      </c>
      <c r="C9">
        <v>0.08</v>
      </c>
    </row>
    <row r="10">
      <c r="A10">
        <v>8</v>
      </c>
      <c r="B10" t="inlineStr">
        <is>
          <t xml:space="preserve">3 × 1,970 m (Fijo)</t>
        </is>
      </c>
      <c r="C10">
        <v>0.08</v>
      </c>
    </row>
    <row r="11">
      <c r="A11">
        <v>9</v>
      </c>
      <c r="B11" t="inlineStr">
        <is>
          <t xml:space="preserve">3 × 1,970 m (Fijo)</t>
        </is>
      </c>
      <c r="C11">
        <v>0.08</v>
      </c>
    </row>
    <row r="12">
      <c r="A12">
        <v>10</v>
      </c>
      <c r="B12" t="inlineStr">
        <is>
          <t xml:space="preserve">3 × 1,970 m (Fijo)</t>
        </is>
      </c>
      <c r="C12">
        <v>0.08</v>
      </c>
    </row>
    <row r="13">
      <c r="A13">
        <v>11</v>
      </c>
      <c r="B13" t="inlineStr">
        <is>
          <t xml:space="preserve">3 × 1,970 m (Fijo)</t>
        </is>
      </c>
      <c r="C13">
        <v>0.08</v>
      </c>
    </row>
    <row r="14">
      <c r="A14">
        <v>12</v>
      </c>
      <c r="B14" t="inlineStr">
        <is>
          <t xml:space="preserve">1 × 1,970 m (Fijo) + 2 × 1,970 m (Lado)</t>
        </is>
      </c>
      <c r="C14">
        <v>0.08</v>
      </c>
    </row>
    <row r="15">
      <c r="A15">
        <v>13</v>
      </c>
      <c r="B15" t="inlineStr">
        <is>
          <t xml:space="preserve">3 × 1,970 m (Lado)</t>
        </is>
      </c>
      <c r="C15">
        <v>0.08</v>
      </c>
    </row>
    <row r="16">
      <c r="A16">
        <v>14</v>
      </c>
      <c r="B16" t="inlineStr">
        <is>
          <t xml:space="preserve">3 × 1,970 m (Lado)</t>
        </is>
      </c>
      <c r="C16">
        <v>0.08</v>
      </c>
    </row>
    <row r="17">
      <c r="A17">
        <v>15</v>
      </c>
      <c r="B17" t="inlineStr">
        <is>
          <t xml:space="preserve">3 × 1,970 m (Lado)</t>
        </is>
      </c>
      <c r="C17">
        <v>0.08</v>
      </c>
    </row>
    <row r="18">
      <c r="A18">
        <v>16</v>
      </c>
      <c r="B18" t="inlineStr">
        <is>
          <t xml:space="preserve">3 × 1,970 m (Lado)</t>
        </is>
      </c>
      <c r="C18">
        <v>0.08</v>
      </c>
    </row>
    <row r="19">
      <c r="A19">
        <v>17</v>
      </c>
      <c r="B19" t="inlineStr">
        <is>
          <t xml:space="preserve">3 × 1,970 m (Lado)</t>
        </is>
      </c>
      <c r="C19">
        <v>0.08</v>
      </c>
    </row>
    <row r="20">
      <c r="A20">
        <v>18</v>
      </c>
      <c r="B20" t="inlineStr">
        <is>
          <t xml:space="preserve">3 × 1,970 m (Lado)</t>
        </is>
      </c>
      <c r="C20">
        <v>0.08</v>
      </c>
    </row>
    <row r="21">
      <c r="A21">
        <v>19</v>
      </c>
      <c r="B21" t="inlineStr">
        <is>
          <t xml:space="preserve">3 × 1,970 m (Lado)</t>
        </is>
      </c>
      <c r="C21">
        <v>0.08</v>
      </c>
    </row>
    <row r="22">
      <c r="A22">
        <v>20</v>
      </c>
      <c r="B22" t="inlineStr">
        <is>
          <t xml:space="preserve">3 × 1,970 m (Lado)</t>
        </is>
      </c>
      <c r="C22">
        <v>0.08</v>
      </c>
    </row>
    <row r="23">
      <c r="A23">
        <v>21</v>
      </c>
      <c r="B23" t="inlineStr">
        <is>
          <t xml:space="preserve">3 × 1,970 m (Lado)</t>
        </is>
      </c>
      <c r="C23">
        <v>0.08</v>
      </c>
    </row>
    <row r="24">
      <c r="A24">
        <v>22</v>
      </c>
      <c r="B24" t="inlineStr">
        <is>
          <t xml:space="preserve">3 × 1,970 m (Lado)</t>
        </is>
      </c>
      <c r="C24">
        <v>0.08</v>
      </c>
    </row>
    <row r="25">
      <c r="A25">
        <v>23</v>
      </c>
      <c r="B25" t="inlineStr">
        <is>
          <t xml:space="preserve">3 × 1,970 m (Lado)</t>
        </is>
      </c>
      <c r="C25">
        <v>0.08</v>
      </c>
    </row>
    <row r="26">
      <c r="A26">
        <v>24</v>
      </c>
      <c r="B26" t="inlineStr">
        <is>
          <t xml:space="preserve">3 × 1,970 m (Lado)</t>
        </is>
      </c>
      <c r="C26">
        <v>0.08</v>
      </c>
    </row>
    <row r="27">
      <c r="A27">
        <v>25</v>
      </c>
      <c r="B27" t="inlineStr">
        <is>
          <t xml:space="preserve">3 × 1,970 m (Lado)</t>
        </is>
      </c>
      <c r="C27">
        <v>0.08</v>
      </c>
    </row>
    <row r="28">
      <c r="A28">
        <v>26</v>
      </c>
      <c r="B28" t="inlineStr">
        <is>
          <t xml:space="preserve">3 × 1,970 m (Lado)</t>
        </is>
      </c>
      <c r="C28">
        <v>0.08</v>
      </c>
    </row>
    <row r="29">
      <c r="A29">
        <v>27</v>
      </c>
      <c r="B29" t="inlineStr">
        <is>
          <t xml:space="preserve">3 × 1,970 m (Lado)</t>
        </is>
      </c>
      <c r="C29">
        <v>0.08</v>
      </c>
    </row>
    <row r="30">
      <c r="A30">
        <v>28</v>
      </c>
      <c r="B30" t="inlineStr">
        <is>
          <t xml:space="preserve">1 × 1,970 m (Lado) + 2 × 1,900 m (Puerta)</t>
        </is>
      </c>
      <c r="C30">
        <v>0.22</v>
      </c>
    </row>
    <row r="31">
      <c r="A31">
        <v>29</v>
      </c>
      <c r="B31" t="inlineStr">
        <is>
          <t xml:space="preserve">3 × 1,900 m (Puerta)</t>
        </is>
      </c>
      <c r="C31">
        <v>0.29</v>
      </c>
    </row>
    <row r="32">
      <c r="A32">
        <v>30</v>
      </c>
      <c r="B32" t="inlineStr">
        <is>
          <t xml:space="preserve">3 × 1,900 m (Puerta)</t>
        </is>
      </c>
      <c r="C32">
        <v>0.29</v>
      </c>
    </row>
    <row r="33">
      <c r="A33">
        <v>31</v>
      </c>
      <c r="B33" t="inlineStr">
        <is>
          <t xml:space="preserve">3 × 1,900 m (Puerta)</t>
        </is>
      </c>
      <c r="C33">
        <v>0.29</v>
      </c>
    </row>
    <row r="34">
      <c r="A34">
        <v>32</v>
      </c>
      <c r="B34" t="inlineStr">
        <is>
          <t xml:space="preserve">3 × 1,900 m (Puerta)</t>
        </is>
      </c>
      <c r="C34">
        <v>0.29</v>
      </c>
    </row>
    <row r="35">
      <c r="A35">
        <v>33</v>
      </c>
      <c r="B35" t="inlineStr">
        <is>
          <t xml:space="preserve">3 × 1,900 m (Puerta)</t>
        </is>
      </c>
      <c r="C35">
        <v>0.29</v>
      </c>
    </row>
    <row r="36">
      <c r="A36">
        <v>34</v>
      </c>
      <c r="B36" t="inlineStr">
        <is>
          <t xml:space="preserve">3 × 1,900 m (Puerta)</t>
        </is>
      </c>
      <c r="C36">
        <v>0.29</v>
      </c>
    </row>
    <row r="37">
      <c r="A37">
        <v>35</v>
      </c>
      <c r="B37" t="inlineStr">
        <is>
          <t xml:space="preserve">3 × 1,900 m (Puerta)</t>
        </is>
      </c>
      <c r="C37">
        <v>0.29</v>
      </c>
    </row>
    <row r="38">
      <c r="A38">
        <v>36</v>
      </c>
      <c r="B38" t="inlineStr">
        <is>
          <t xml:space="preserve">3 × 1,900 m (Puerta)</t>
        </is>
      </c>
      <c r="C38">
        <v>0.29</v>
      </c>
    </row>
    <row r="39">
      <c r="A39">
        <v>37</v>
      </c>
      <c r="B39" t="inlineStr">
        <is>
          <t xml:space="preserve">2 × 1,900 m (Puerta) + 2 × 0,888 m (Fijo)</t>
        </is>
      </c>
      <c r="C39">
        <v>0.41</v>
      </c>
    </row>
    <row r="40">
      <c r="A40">
        <v>38</v>
      </c>
      <c r="B40" t="inlineStr">
        <is>
          <t xml:space="preserve">4 × 0,888 m (Fijo) + 2 × 0,888 m (Puerta)</t>
        </is>
      </c>
      <c r="C40">
        <v>0.66</v>
      </c>
    </row>
    <row r="41">
      <c r="A41">
        <v>39</v>
      </c>
      <c r="B41" t="inlineStr">
        <is>
          <t xml:space="preserve">4 × 0,888 m (Puerta)</t>
        </is>
      </c>
      <c r="C41">
        <v>2.44</v>
      </c>
    </row>
  </sheetData>
</worksheet>
</file>